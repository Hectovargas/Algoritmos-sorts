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fefo\Documents\universidad\Q4 - 2025\Analisis de Algoritmos\"/>
    </mc:Choice>
  </mc:AlternateContent>
  <xr:revisionPtr revIDLastSave="0" documentId="13_ncr:1_{818C80F8-DEAB-4CD8-8816-359A01573B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3" r:id="rId1"/>
    <sheet name="GRAFICAS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0" i="3" l="1"/>
  <c r="K29" i="3"/>
  <c r="J30" i="3"/>
  <c r="J29" i="3"/>
  <c r="J28" i="3"/>
  <c r="I30" i="3"/>
  <c r="I29" i="3"/>
  <c r="H30" i="3"/>
  <c r="K28" i="3"/>
  <c r="I28" i="3"/>
  <c r="H28" i="3"/>
  <c r="G28" i="3"/>
  <c r="H29" i="3"/>
  <c r="G30" i="3"/>
  <c r="G29" i="3"/>
  <c r="F21" i="3"/>
  <c r="F30" i="3"/>
  <c r="F29" i="3"/>
  <c r="F28" i="3"/>
  <c r="P22" i="3"/>
  <c r="P21" i="3"/>
  <c r="P20" i="3"/>
  <c r="P19" i="3"/>
  <c r="P18" i="3"/>
  <c r="N22" i="3"/>
  <c r="N21" i="3"/>
  <c r="N20" i="3"/>
  <c r="N19" i="3"/>
  <c r="N18" i="3"/>
  <c r="L22" i="3"/>
  <c r="L21" i="3"/>
  <c r="L20" i="3"/>
  <c r="L19" i="3"/>
  <c r="L18" i="3"/>
  <c r="F13" i="3"/>
  <c r="F12" i="3"/>
  <c r="P12" i="3"/>
  <c r="P13" i="3"/>
  <c r="P14" i="3"/>
  <c r="P15" i="3"/>
  <c r="P11" i="3"/>
  <c r="N12" i="3"/>
  <c r="N13" i="3"/>
  <c r="N14" i="3"/>
  <c r="N15" i="3"/>
  <c r="N11" i="3"/>
  <c r="L12" i="3"/>
  <c r="L13" i="3"/>
  <c r="L14" i="3"/>
  <c r="L15" i="3"/>
  <c r="L11" i="3"/>
  <c r="J22" i="3"/>
  <c r="J11" i="3"/>
  <c r="J12" i="3"/>
  <c r="J13" i="3"/>
  <c r="J14" i="3"/>
  <c r="J15" i="3"/>
  <c r="J18" i="3"/>
  <c r="J19" i="3"/>
  <c r="J20" i="3"/>
  <c r="J21" i="3"/>
  <c r="H11" i="3"/>
  <c r="H12" i="3"/>
  <c r="H13" i="3"/>
  <c r="H14" i="3"/>
  <c r="H15" i="3"/>
  <c r="H18" i="3"/>
  <c r="H19" i="3"/>
  <c r="H20" i="3"/>
  <c r="H21" i="3"/>
  <c r="H22" i="3"/>
  <c r="F11" i="3"/>
  <c r="F14" i="3"/>
  <c r="F15" i="3"/>
  <c r="F18" i="3"/>
  <c r="F19" i="3"/>
  <c r="F20" i="3"/>
  <c r="F22" i="3"/>
</calcChain>
</file>

<file path=xl/sharedStrings.xml><?xml version="1.0" encoding="utf-8"?>
<sst xmlns="http://schemas.openxmlformats.org/spreadsheetml/2006/main" count="56" uniqueCount="33">
  <si>
    <t>N</t>
  </si>
  <si>
    <t>Bubble</t>
  </si>
  <si>
    <t>Selection</t>
  </si>
  <si>
    <t>Insertion</t>
  </si>
  <si>
    <t>Merge</t>
  </si>
  <si>
    <t>Quick</t>
  </si>
  <si>
    <t>Heap</t>
  </si>
  <si>
    <t>Columna1</t>
  </si>
  <si>
    <t>Bubble Sort:</t>
  </si>
  <si>
    <t>Selection Sort:</t>
  </si>
  <si>
    <t>Insertion Sort:</t>
  </si>
  <si>
    <t>Merge Sort:</t>
  </si>
  <si>
    <t>Quick Sort:</t>
  </si>
  <si>
    <t>Heap Sort:</t>
  </si>
  <si>
    <t>1000 datos</t>
  </si>
  <si>
    <t>10000 datos</t>
  </si>
  <si>
    <t>1000000 datos</t>
  </si>
  <si>
    <t>Tiempo en segundos</t>
  </si>
  <si>
    <t>Graficas en la otra hoja</t>
  </si>
  <si>
    <t>datos en la otra hoja</t>
  </si>
  <si>
    <t>1,000,000</t>
  </si>
  <si>
    <t>Columna2</t>
  </si>
  <si>
    <t>Columna3</t>
  </si>
  <si>
    <t>Columna5</t>
  </si>
  <si>
    <t>Columna6</t>
  </si>
  <si>
    <t>Columna7</t>
  </si>
  <si>
    <t>Columna9</t>
  </si>
  <si>
    <t>Columna10</t>
  </si>
  <si>
    <t>Columna11</t>
  </si>
  <si>
    <t>Columna12</t>
  </si>
  <si>
    <t>Columna13</t>
  </si>
  <si>
    <t>Columna14</t>
  </si>
  <si>
    <t xml:space="preserve">Tiempos promedios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</si>
</sst>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&quot; ms&quot;"/>
    <numFmt numFmtId="165" formatCode="0.00&quot; s&quot;"/>
    <numFmt numFmtId="166" formatCode="0.00&quot; ms&quot;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Bahnschrift Light"/>
      <family val="2"/>
    </font>
    <font>
      <b/>
      <sz val="11"/>
      <color theme="1"/>
      <name val="Bahnschrift Light"/>
      <family val="2"/>
    </font>
    <font>
      <sz val="26"/>
      <color theme="1"/>
      <name val="Bahnschrift Light"/>
      <family val="2"/>
    </font>
    <font>
      <sz val="18"/>
      <color theme="1"/>
      <name val="Calibri"/>
      <family val="2"/>
      <scheme val="minor"/>
    </font>
    <font>
      <sz val="22"/>
      <color theme="1"/>
      <name val="Bahnschrift Light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164" fontId="2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164" fontId="2" fillId="0" borderId="4" xfId="1" applyNumberFormat="1" applyFont="1" applyBorder="1" applyAlignment="1">
      <alignment horizontal="center"/>
    </xf>
    <xf numFmtId="164" fontId="2" fillId="0" borderId="5" xfId="1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64" fontId="2" fillId="3" borderId="4" xfId="0" applyNumberFormat="1" applyFont="1" applyFill="1" applyBorder="1" applyAlignment="1">
      <alignment horizontal="center"/>
    </xf>
    <xf numFmtId="164" fontId="2" fillId="3" borderId="5" xfId="0" applyNumberFormat="1" applyFont="1" applyFill="1" applyBorder="1" applyAlignment="1">
      <alignment horizontal="center"/>
    </xf>
    <xf numFmtId="166" fontId="2" fillId="0" borderId="4" xfId="0" applyNumberFormat="1" applyFont="1" applyBorder="1" applyAlignment="1">
      <alignment horizontal="center"/>
    </xf>
    <xf numFmtId="165" fontId="2" fillId="0" borderId="5" xfId="1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2" fillId="0" borderId="7" xfId="1" applyNumberFormat="1" applyFont="1" applyBorder="1" applyAlignment="1">
      <alignment horizontal="center"/>
    </xf>
    <xf numFmtId="165" fontId="2" fillId="4" borderId="3" xfId="1" applyNumberFormat="1" applyFont="1" applyFill="1" applyBorder="1" applyAlignment="1">
      <alignment horizontal="center"/>
    </xf>
    <xf numFmtId="165" fontId="2" fillId="3" borderId="5" xfId="1" applyNumberFormat="1" applyFont="1" applyFill="1" applyBorder="1" applyAlignment="1">
      <alignment horizontal="center"/>
    </xf>
    <xf numFmtId="165" fontId="2" fillId="2" borderId="5" xfId="1" applyNumberFormat="1" applyFont="1" applyFill="1" applyBorder="1" applyAlignment="1">
      <alignment horizontal="center"/>
    </xf>
    <xf numFmtId="164" fontId="2" fillId="4" borderId="2" xfId="0" applyNumberFormat="1" applyFont="1" applyFill="1" applyBorder="1" applyAlignment="1">
      <alignment horizontal="center"/>
    </xf>
    <xf numFmtId="164" fontId="2" fillId="2" borderId="4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</cellXfs>
  <cellStyles count="2">
    <cellStyle name="Millares" xfId="1" builtinId="3"/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 Light"/>
        <family val="2"/>
        <scheme val="none"/>
      </font>
      <numFmt numFmtId="165" formatCode="0.00&quot; s&quot;"/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 Light"/>
        <family val="2"/>
        <scheme val="none"/>
      </font>
      <numFmt numFmtId="164" formatCode="0.000&quot; ms&quot;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 Light"/>
        <family val="2"/>
        <scheme val="none"/>
      </font>
      <numFmt numFmtId="165" formatCode="0.00&quot; s&quot;"/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 Light"/>
        <family val="2"/>
        <scheme val="none"/>
      </font>
      <numFmt numFmtId="164" formatCode="0.000&quot; ms&quot;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 Light"/>
        <family val="2"/>
        <scheme val="none"/>
      </font>
      <numFmt numFmtId="165" formatCode="0.00&quot; s&quot;"/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 Light"/>
        <family val="2"/>
        <scheme val="none"/>
      </font>
      <numFmt numFmtId="164" formatCode="0.000&quot; ms&quot;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 Light"/>
        <family val="2"/>
        <scheme val="none"/>
      </font>
      <numFmt numFmtId="165" formatCode="0.00&quot; s&quot;"/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 Light"/>
        <family val="2"/>
        <scheme val="none"/>
      </font>
      <numFmt numFmtId="164" formatCode="0.000&quot; ms&quot;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 Light"/>
        <family val="2"/>
        <scheme val="none"/>
      </font>
      <numFmt numFmtId="165" formatCode="0.00&quot; s&quot;"/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 Light"/>
        <family val="2"/>
        <scheme val="none"/>
      </font>
      <numFmt numFmtId="164" formatCode="0.000&quot; ms&quot;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 Light"/>
        <family val="2"/>
        <scheme val="none"/>
      </font>
      <numFmt numFmtId="165" formatCode="0.00&quot; s&quot;"/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 Light"/>
        <family val="2"/>
        <scheme val="none"/>
      </font>
      <numFmt numFmtId="164" formatCode="0.000&quot; ms&quot;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 Light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 Light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 Light"/>
        <family val="2"/>
        <scheme val="none"/>
      </font>
      <numFmt numFmtId="164" formatCode="0.000&quot; ms&quot;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 Light"/>
        <family val="2"/>
        <scheme val="none"/>
      </font>
      <numFmt numFmtId="164" formatCode="0.000&quot; ms&quot;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 Light"/>
        <family val="2"/>
        <scheme val="none"/>
      </font>
      <numFmt numFmtId="164" formatCode="0.000&quot; ms&quot;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 Light"/>
        <family val="2"/>
        <scheme val="none"/>
      </font>
      <numFmt numFmtId="164" formatCode="0.000&quot; ms&quot;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 Light"/>
        <family val="2"/>
        <scheme val="none"/>
      </font>
      <numFmt numFmtId="164" formatCode="0.000&quot; ms&quot;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 Light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 Light"/>
        <family val="2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 Light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HN"/>
              <a:t>Comparacion de algoritmos con</a:t>
            </a:r>
            <a:r>
              <a:rPr lang="es-HN" baseline="0"/>
              <a:t> 1000 datos</a:t>
            </a:r>
            <a:endParaRPr lang="es-HN"/>
          </a:p>
        </c:rich>
      </c:tx>
      <c:layout>
        <c:manualLayout>
          <c:xMode val="edge"/>
          <c:yMode val="edge"/>
          <c:x val="0.19426550969405215"/>
          <c:y val="2.84988574520509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H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(DATOS!$E$3,DATOS!$G$3,DATOS!$I$3,DATOS!$K$3,DATOS!$M$3,DATOS!$O$3)</c:f>
              <c:strCache>
                <c:ptCount val="6"/>
                <c:pt idx="0">
                  <c:v>Bubble Sort:</c:v>
                </c:pt>
                <c:pt idx="1">
                  <c:v>Selection Sort:</c:v>
                </c:pt>
                <c:pt idx="2">
                  <c:v>Insertion Sort:</c:v>
                </c:pt>
                <c:pt idx="3">
                  <c:v>Merge Sort:</c:v>
                </c:pt>
                <c:pt idx="4">
                  <c:v>Quick Sort:</c:v>
                </c:pt>
                <c:pt idx="5">
                  <c:v>Heap Sort:</c:v>
                </c:pt>
              </c:strCache>
            </c:strRef>
          </c:cat>
          <c:val>
            <c:numRef>
              <c:f>(DATOS!$E$4,DATOS!$G$4,DATOS!$I$4,DATOS!$K$4,DATOS!$M$4,DATOS!$O$4)</c:f>
              <c:numCache>
                <c:formatCode>0.000" ms"</c:formatCode>
                <c:ptCount val="6"/>
                <c:pt idx="0">
                  <c:v>8.73</c:v>
                </c:pt>
                <c:pt idx="1">
                  <c:v>1.98</c:v>
                </c:pt>
                <c:pt idx="2">
                  <c:v>2.34</c:v>
                </c:pt>
                <c:pt idx="3">
                  <c:v>0.45</c:v>
                </c:pt>
                <c:pt idx="4">
                  <c:v>0.11</c:v>
                </c:pt>
                <c:pt idx="5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48-4A89-99EC-D62DD646F24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(DATOS!$E$3,DATOS!$G$3,DATOS!$I$3,DATOS!$K$3,DATOS!$M$3,DATOS!$O$3)</c:f>
              <c:strCache>
                <c:ptCount val="6"/>
                <c:pt idx="0">
                  <c:v>Bubble Sort:</c:v>
                </c:pt>
                <c:pt idx="1">
                  <c:v>Selection Sort:</c:v>
                </c:pt>
                <c:pt idx="2">
                  <c:v>Insertion Sort:</c:v>
                </c:pt>
                <c:pt idx="3">
                  <c:v>Merge Sort:</c:v>
                </c:pt>
                <c:pt idx="4">
                  <c:v>Quick Sort:</c:v>
                </c:pt>
                <c:pt idx="5">
                  <c:v>Heap Sort:</c:v>
                </c:pt>
              </c:strCache>
            </c:strRef>
          </c:cat>
          <c:val>
            <c:numRef>
              <c:f>(DATOS!$E$5,DATOS!$G$5,DATOS!$I$5,DATOS!$K$5,DATOS!$M$5,DATOS!$O$5)</c:f>
              <c:numCache>
                <c:formatCode>0.000" ms"</c:formatCode>
                <c:ptCount val="6"/>
                <c:pt idx="0">
                  <c:v>9.1199999999999992</c:v>
                </c:pt>
                <c:pt idx="1">
                  <c:v>2.0699999999999998</c:v>
                </c:pt>
                <c:pt idx="2">
                  <c:v>2.41</c:v>
                </c:pt>
                <c:pt idx="3">
                  <c:v>0.48</c:v>
                </c:pt>
                <c:pt idx="4">
                  <c:v>0.1</c:v>
                </c:pt>
                <c:pt idx="5">
                  <c:v>0.21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48-4A89-99EC-D62DD646F24B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(DATOS!$E$3,DATOS!$G$3,DATOS!$I$3,DATOS!$K$3,DATOS!$M$3,DATOS!$O$3)</c:f>
              <c:strCache>
                <c:ptCount val="6"/>
                <c:pt idx="0">
                  <c:v>Bubble Sort:</c:v>
                </c:pt>
                <c:pt idx="1">
                  <c:v>Selection Sort:</c:v>
                </c:pt>
                <c:pt idx="2">
                  <c:v>Insertion Sort:</c:v>
                </c:pt>
                <c:pt idx="3">
                  <c:v>Merge Sort:</c:v>
                </c:pt>
                <c:pt idx="4">
                  <c:v>Quick Sort:</c:v>
                </c:pt>
                <c:pt idx="5">
                  <c:v>Heap Sort:</c:v>
                </c:pt>
              </c:strCache>
            </c:strRef>
          </c:cat>
          <c:val>
            <c:numRef>
              <c:f>(DATOS!$E$6,DATOS!$G$6,DATOS!$I$6,DATOS!$K$6,DATOS!$M$6,DATOS!$O$6)</c:f>
              <c:numCache>
                <c:formatCode>0.000" ms"</c:formatCode>
                <c:ptCount val="6"/>
                <c:pt idx="0">
                  <c:v>8.9499999999999993</c:v>
                </c:pt>
                <c:pt idx="1">
                  <c:v>2.0099999999999998</c:v>
                </c:pt>
                <c:pt idx="2">
                  <c:v>2.37</c:v>
                </c:pt>
                <c:pt idx="3">
                  <c:v>0.47</c:v>
                </c:pt>
                <c:pt idx="4">
                  <c:v>0.1</c:v>
                </c:pt>
                <c:pt idx="5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48-4A89-99EC-D62DD646F24B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(DATOS!$E$3,DATOS!$G$3,DATOS!$I$3,DATOS!$K$3,DATOS!$M$3,DATOS!$O$3)</c:f>
              <c:strCache>
                <c:ptCount val="6"/>
                <c:pt idx="0">
                  <c:v>Bubble Sort:</c:v>
                </c:pt>
                <c:pt idx="1">
                  <c:v>Selection Sort:</c:v>
                </c:pt>
                <c:pt idx="2">
                  <c:v>Insertion Sort:</c:v>
                </c:pt>
                <c:pt idx="3">
                  <c:v>Merge Sort:</c:v>
                </c:pt>
                <c:pt idx="4">
                  <c:v>Quick Sort:</c:v>
                </c:pt>
                <c:pt idx="5">
                  <c:v>Heap Sort:</c:v>
                </c:pt>
              </c:strCache>
            </c:strRef>
          </c:cat>
          <c:val>
            <c:numRef>
              <c:f>(DATOS!$E$7,DATOS!$G$7,DATOS!$I$7,DATOS!$K$7,DATOS!$M$7,DATOS!$O$7)</c:f>
              <c:numCache>
                <c:formatCode>0.000" ms"</c:formatCode>
                <c:ptCount val="6"/>
                <c:pt idx="0">
                  <c:v>9.08</c:v>
                </c:pt>
                <c:pt idx="1">
                  <c:v>2.11</c:v>
                </c:pt>
                <c:pt idx="2">
                  <c:v>2.4300000000000002</c:v>
                </c:pt>
                <c:pt idx="3">
                  <c:v>0.47</c:v>
                </c:pt>
                <c:pt idx="4">
                  <c:v>0.1</c:v>
                </c:pt>
                <c:pt idx="5">
                  <c:v>0.22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C48-4A89-99EC-D62DD646F24B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(DATOS!$E$3,DATOS!$G$3,DATOS!$I$3,DATOS!$K$3,DATOS!$M$3,DATOS!$O$3)</c:f>
              <c:strCache>
                <c:ptCount val="6"/>
                <c:pt idx="0">
                  <c:v>Bubble Sort:</c:v>
                </c:pt>
                <c:pt idx="1">
                  <c:v>Selection Sort:</c:v>
                </c:pt>
                <c:pt idx="2">
                  <c:v>Insertion Sort:</c:v>
                </c:pt>
                <c:pt idx="3">
                  <c:v>Merge Sort:</c:v>
                </c:pt>
                <c:pt idx="4">
                  <c:v>Quick Sort:</c:v>
                </c:pt>
                <c:pt idx="5">
                  <c:v>Heap Sort:</c:v>
                </c:pt>
              </c:strCache>
            </c:strRef>
          </c:cat>
          <c:val>
            <c:numRef>
              <c:f>(DATOS!$E$8,DATOS!$G$8,DATOS!$I$8,DATOS!$K$8,DATOS!$M$8,DATOS!$O$8)</c:f>
              <c:numCache>
                <c:formatCode>0.000" ms"</c:formatCode>
                <c:ptCount val="6"/>
                <c:pt idx="0">
                  <c:v>8.81</c:v>
                </c:pt>
                <c:pt idx="1">
                  <c:v>1.96</c:v>
                </c:pt>
                <c:pt idx="2">
                  <c:v>2.35</c:v>
                </c:pt>
                <c:pt idx="3">
                  <c:v>0.45</c:v>
                </c:pt>
                <c:pt idx="4">
                  <c:v>0.1</c:v>
                </c:pt>
                <c:pt idx="5">
                  <c:v>0.19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C48-4A89-99EC-D62DD646F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31105760"/>
        <c:axId val="1631106592"/>
      </c:barChart>
      <c:catAx>
        <c:axId val="1631105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HN"/>
          </a:p>
        </c:txPr>
        <c:crossAx val="1631106592"/>
        <c:crosses val="autoZero"/>
        <c:auto val="1"/>
        <c:lblAlgn val="ctr"/>
        <c:lblOffset val="100"/>
        <c:noMultiLvlLbl val="0"/>
      </c:catAx>
      <c:valAx>
        <c:axId val="1631106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&quot; ms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HN"/>
          </a:p>
        </c:txPr>
        <c:crossAx val="163110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H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H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HN" sz="1400" b="0" i="0" baseline="0">
                <a:effectLst/>
              </a:rPr>
              <a:t>Comparacion de algoritmos con 10000 datos</a:t>
            </a:r>
            <a:endParaRPr lang="es-HN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H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(DATOS!$E$10,DATOS!$G$10,DATOS!$I$10,DATOS!$K$10,DATOS!$M$10,DATOS!$O$10)</c:f>
              <c:strCache>
                <c:ptCount val="6"/>
                <c:pt idx="0">
                  <c:v>Bubble Sort:</c:v>
                </c:pt>
                <c:pt idx="1">
                  <c:v>Selection Sort:</c:v>
                </c:pt>
                <c:pt idx="2">
                  <c:v>Insertion Sort:</c:v>
                </c:pt>
                <c:pt idx="3">
                  <c:v>Merge Sort:</c:v>
                </c:pt>
                <c:pt idx="4">
                  <c:v>Quick Sort:</c:v>
                </c:pt>
                <c:pt idx="5">
                  <c:v>Heap Sort:</c:v>
                </c:pt>
              </c:strCache>
            </c:strRef>
          </c:cat>
          <c:val>
            <c:numRef>
              <c:f>(DATOS!$E$11,DATOS!$G$11,DATOS!$I$11,DATOS!$K$11,DATOS!$M$11,DATOS!$O$11)</c:f>
              <c:numCache>
                <c:formatCode>0.00" ms"</c:formatCode>
                <c:ptCount val="6"/>
                <c:pt idx="0">
                  <c:v>867.42</c:v>
                </c:pt>
                <c:pt idx="1">
                  <c:v>102.87</c:v>
                </c:pt>
                <c:pt idx="2">
                  <c:v>208.34</c:v>
                </c:pt>
                <c:pt idx="3">
                  <c:v>46.46</c:v>
                </c:pt>
                <c:pt idx="4" formatCode="0.000&quot; ms&quot;">
                  <c:v>17.190000000000001</c:v>
                </c:pt>
                <c:pt idx="5" formatCode="0.000&quot; ms&quot;">
                  <c:v>35.49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B1-4A76-8FD5-514A1A596079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(DATOS!$E$10,DATOS!$G$10,DATOS!$I$10,DATOS!$K$10,DATOS!$M$10,DATOS!$O$10)</c:f>
              <c:strCache>
                <c:ptCount val="6"/>
                <c:pt idx="0">
                  <c:v>Bubble Sort:</c:v>
                </c:pt>
                <c:pt idx="1">
                  <c:v>Selection Sort:</c:v>
                </c:pt>
                <c:pt idx="2">
                  <c:v>Insertion Sort:</c:v>
                </c:pt>
                <c:pt idx="3">
                  <c:v>Merge Sort:</c:v>
                </c:pt>
                <c:pt idx="4">
                  <c:v>Quick Sort:</c:v>
                </c:pt>
                <c:pt idx="5">
                  <c:v>Heap Sort:</c:v>
                </c:pt>
              </c:strCache>
            </c:strRef>
          </c:cat>
          <c:val>
            <c:numRef>
              <c:f>(DATOS!$E$12,DATOS!$G$12,DATOS!$I$12,DATOS!$K$12,DATOS!$M$12,DATOS!$O$12)</c:f>
              <c:numCache>
                <c:formatCode>0.00" ms"</c:formatCode>
                <c:ptCount val="6"/>
                <c:pt idx="0">
                  <c:v>891.15</c:v>
                </c:pt>
                <c:pt idx="1">
                  <c:v>106.42</c:v>
                </c:pt>
                <c:pt idx="2">
                  <c:v>214.87</c:v>
                </c:pt>
                <c:pt idx="3">
                  <c:v>38.31</c:v>
                </c:pt>
                <c:pt idx="4" formatCode="0.000&quot; ms&quot;">
                  <c:v>16.920000000000002</c:v>
                </c:pt>
                <c:pt idx="5" formatCode="0.000&quot; ms&quot;">
                  <c:v>35.19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B1-4A76-8FD5-514A1A596079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(DATOS!$E$10,DATOS!$G$10,DATOS!$I$10,DATOS!$K$10,DATOS!$M$10,DATOS!$O$10)</c:f>
              <c:strCache>
                <c:ptCount val="6"/>
                <c:pt idx="0">
                  <c:v>Bubble Sort:</c:v>
                </c:pt>
                <c:pt idx="1">
                  <c:v>Selection Sort:</c:v>
                </c:pt>
                <c:pt idx="2">
                  <c:v>Insertion Sort:</c:v>
                </c:pt>
                <c:pt idx="3">
                  <c:v>Merge Sort:</c:v>
                </c:pt>
                <c:pt idx="4">
                  <c:v>Quick Sort:</c:v>
                </c:pt>
                <c:pt idx="5">
                  <c:v>Heap Sort:</c:v>
                </c:pt>
              </c:strCache>
            </c:strRef>
          </c:cat>
          <c:val>
            <c:numRef>
              <c:f>(DATOS!$E$13,DATOS!$G$13,DATOS!$I$13,DATOS!$K$13,DATOS!$M$13,DATOS!$O$13)</c:f>
              <c:numCache>
                <c:formatCode>0.00" ms"</c:formatCode>
                <c:ptCount val="6"/>
                <c:pt idx="0">
                  <c:v>873.68</c:v>
                </c:pt>
                <c:pt idx="1">
                  <c:v>103.91</c:v>
                </c:pt>
                <c:pt idx="2">
                  <c:v>210.52</c:v>
                </c:pt>
                <c:pt idx="3">
                  <c:v>37.6</c:v>
                </c:pt>
                <c:pt idx="4" formatCode="0.000&quot; ms&quot;">
                  <c:v>17.059999999999999</c:v>
                </c:pt>
                <c:pt idx="5" formatCode="0.000&quot; ms&quot;">
                  <c:v>35.75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B1-4A76-8FD5-514A1A596079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(DATOS!$E$10,DATOS!$G$10,DATOS!$I$10,DATOS!$K$10,DATOS!$M$10,DATOS!$O$10)</c:f>
              <c:strCache>
                <c:ptCount val="6"/>
                <c:pt idx="0">
                  <c:v>Bubble Sort:</c:v>
                </c:pt>
                <c:pt idx="1">
                  <c:v>Selection Sort:</c:v>
                </c:pt>
                <c:pt idx="2">
                  <c:v>Insertion Sort:</c:v>
                </c:pt>
                <c:pt idx="3">
                  <c:v>Merge Sort:</c:v>
                </c:pt>
                <c:pt idx="4">
                  <c:v>Quick Sort:</c:v>
                </c:pt>
                <c:pt idx="5">
                  <c:v>Heap Sort:</c:v>
                </c:pt>
              </c:strCache>
            </c:strRef>
          </c:cat>
          <c:val>
            <c:numRef>
              <c:f>(DATOS!$E$14,DATOS!$G$14,DATOS!$I$14,DATOS!$K$14,DATOS!$M$14,DATOS!$O$14)</c:f>
              <c:numCache>
                <c:formatCode>0.00" ms"</c:formatCode>
                <c:ptCount val="6"/>
                <c:pt idx="0">
                  <c:v>885.29</c:v>
                </c:pt>
                <c:pt idx="1">
                  <c:v>105.18</c:v>
                </c:pt>
                <c:pt idx="2">
                  <c:v>213.19</c:v>
                </c:pt>
                <c:pt idx="3">
                  <c:v>38.33</c:v>
                </c:pt>
                <c:pt idx="4" formatCode="0.000&quot; ms&quot;">
                  <c:v>17.09</c:v>
                </c:pt>
                <c:pt idx="5" formatCode="0.000&quot; ms&quot;">
                  <c:v>35.020000000000003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B1-4A76-8FD5-514A1A596079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(DATOS!$E$10,DATOS!$G$10,DATOS!$I$10,DATOS!$K$10,DATOS!$M$10,DATOS!$O$10)</c:f>
              <c:strCache>
                <c:ptCount val="6"/>
                <c:pt idx="0">
                  <c:v>Bubble Sort:</c:v>
                </c:pt>
                <c:pt idx="1">
                  <c:v>Selection Sort:</c:v>
                </c:pt>
                <c:pt idx="2">
                  <c:v>Insertion Sort:</c:v>
                </c:pt>
                <c:pt idx="3">
                  <c:v>Merge Sort:</c:v>
                </c:pt>
                <c:pt idx="4">
                  <c:v>Quick Sort:</c:v>
                </c:pt>
                <c:pt idx="5">
                  <c:v>Heap Sort:</c:v>
                </c:pt>
              </c:strCache>
            </c:strRef>
          </c:cat>
          <c:val>
            <c:numRef>
              <c:f>(DATOS!$E$15,DATOS!$G$15,DATOS!$I$15,DATOS!$K$15,DATOS!$M$15,DATOS!$O$15)</c:f>
              <c:numCache>
                <c:formatCode>0.00" ms"</c:formatCode>
                <c:ptCount val="6"/>
                <c:pt idx="0">
                  <c:v>879.54</c:v>
                </c:pt>
                <c:pt idx="1">
                  <c:v>104.23</c:v>
                </c:pt>
                <c:pt idx="2">
                  <c:v>209.76</c:v>
                </c:pt>
                <c:pt idx="3">
                  <c:v>37.42</c:v>
                </c:pt>
                <c:pt idx="4" formatCode="0.000&quot; ms&quot;">
                  <c:v>16.97</c:v>
                </c:pt>
                <c:pt idx="5" formatCode="0.000&quot; ms&quot;">
                  <c:v>35.47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B1-4A76-8FD5-514A1A5960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91439664"/>
        <c:axId val="1691440080"/>
      </c:barChart>
      <c:catAx>
        <c:axId val="1691439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HN"/>
          </a:p>
        </c:txPr>
        <c:crossAx val="1691440080"/>
        <c:crosses val="autoZero"/>
        <c:auto val="1"/>
        <c:lblAlgn val="ctr"/>
        <c:lblOffset val="100"/>
        <c:noMultiLvlLbl val="0"/>
      </c:catAx>
      <c:valAx>
        <c:axId val="1691440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&quot; ms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HN"/>
          </a:p>
        </c:txPr>
        <c:crossAx val="1691439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H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H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HN" sz="1400" b="0" i="0" baseline="0">
                <a:effectLst/>
              </a:rPr>
              <a:t>Comparacion de algoritmos con 1000000 datos</a:t>
            </a:r>
            <a:endParaRPr lang="es-HN" sz="14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H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(DATOS!$F$17,DATOS!$H$17,DATOS!$J$17,DATOS!$L$17,DATOS!$N$17,DATOS!$P$17)</c:f>
              <c:strCache>
                <c:ptCount val="6"/>
                <c:pt idx="0">
                  <c:v>Bubble Sort:</c:v>
                </c:pt>
                <c:pt idx="1">
                  <c:v>Selection Sort:</c:v>
                </c:pt>
                <c:pt idx="2">
                  <c:v>Insertion Sort:</c:v>
                </c:pt>
                <c:pt idx="3">
                  <c:v>Merge Sort:</c:v>
                </c:pt>
                <c:pt idx="4">
                  <c:v>Quick Sort:</c:v>
                </c:pt>
                <c:pt idx="5">
                  <c:v>Heap Sort:</c:v>
                </c:pt>
              </c:strCache>
            </c:strRef>
          </c:cat>
          <c:val>
            <c:numRef>
              <c:f>(DATOS!$F$18,DATOS!$H$18,DATOS!$J$18,DATOS!$L$18,DATOS!$N$18,DATOS!$P$18)</c:f>
              <c:numCache>
                <c:formatCode>0.00" s"</c:formatCode>
                <c:ptCount val="6"/>
                <c:pt idx="0">
                  <c:v>6248.57132</c:v>
                </c:pt>
                <c:pt idx="1">
                  <c:v>1058.12745</c:v>
                </c:pt>
                <c:pt idx="2">
                  <c:v>2087.34256</c:v>
                </c:pt>
                <c:pt idx="3">
                  <c:v>0.43942999999999999</c:v>
                </c:pt>
                <c:pt idx="4">
                  <c:v>0.19756000000000001</c:v>
                </c:pt>
                <c:pt idx="5">
                  <c:v>0.45912999999999998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DC-43A2-8ACE-C2F12F89BFB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(DATOS!$F$17,DATOS!$H$17,DATOS!$J$17,DATOS!$L$17,DATOS!$N$17,DATOS!$P$17)</c:f>
              <c:strCache>
                <c:ptCount val="6"/>
                <c:pt idx="0">
                  <c:v>Bubble Sort:</c:v>
                </c:pt>
                <c:pt idx="1">
                  <c:v>Selection Sort:</c:v>
                </c:pt>
                <c:pt idx="2">
                  <c:v>Insertion Sort:</c:v>
                </c:pt>
                <c:pt idx="3">
                  <c:v>Merge Sort:</c:v>
                </c:pt>
                <c:pt idx="4">
                  <c:v>Quick Sort:</c:v>
                </c:pt>
                <c:pt idx="5">
                  <c:v>Heap Sort:</c:v>
                </c:pt>
              </c:strCache>
            </c:strRef>
          </c:cat>
          <c:val>
            <c:numRef>
              <c:f>(DATOS!$F$19,DATOS!$H$19,DATOS!$J$19,DATOS!$L$19,DATOS!$N$19,DATOS!$P$19)</c:f>
              <c:numCache>
                <c:formatCode>0.00" s"</c:formatCode>
                <c:ptCount val="6"/>
                <c:pt idx="0">
                  <c:v>6392.8456699999997</c:v>
                </c:pt>
                <c:pt idx="1">
                  <c:v>1064.8923799999998</c:v>
                </c:pt>
                <c:pt idx="2">
                  <c:v>2114.5879100000002</c:v>
                </c:pt>
                <c:pt idx="3">
                  <c:v>0.47937999999999997</c:v>
                </c:pt>
                <c:pt idx="4">
                  <c:v>0.19884000000000002</c:v>
                </c:pt>
                <c:pt idx="5">
                  <c:v>0.44871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DC-43A2-8ACE-C2F12F89BFBB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(DATOS!$F$17,DATOS!$H$17,DATOS!$J$17,DATOS!$L$17,DATOS!$N$17,DATOS!$P$17)</c:f>
              <c:strCache>
                <c:ptCount val="6"/>
                <c:pt idx="0">
                  <c:v>Bubble Sort:</c:v>
                </c:pt>
                <c:pt idx="1">
                  <c:v>Selection Sort:</c:v>
                </c:pt>
                <c:pt idx="2">
                  <c:v>Insertion Sort:</c:v>
                </c:pt>
                <c:pt idx="3">
                  <c:v>Merge Sort:</c:v>
                </c:pt>
                <c:pt idx="4">
                  <c:v>Quick Sort:</c:v>
                </c:pt>
                <c:pt idx="5">
                  <c:v>Heap Sort:</c:v>
                </c:pt>
              </c:strCache>
            </c:strRef>
          </c:cat>
          <c:val>
            <c:numRef>
              <c:f>(DATOS!$F$20,DATOS!$H$20,DATOS!$J$20,DATOS!$L$20,DATOS!$N$20,DATOS!$P$20)</c:f>
              <c:numCache>
                <c:formatCode>0.00" s"</c:formatCode>
                <c:ptCount val="6"/>
                <c:pt idx="0">
                  <c:v>6301.4289100000005</c:v>
                </c:pt>
                <c:pt idx="1">
                  <c:v>1061.54367</c:v>
                </c:pt>
                <c:pt idx="2">
                  <c:v>2096.1284700000001</c:v>
                </c:pt>
                <c:pt idx="3">
                  <c:v>0.44719999999999999</c:v>
                </c:pt>
                <c:pt idx="4">
                  <c:v>0.20349999999999999</c:v>
                </c:pt>
                <c:pt idx="5">
                  <c:v>0.45283999999999996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DC-43A2-8ACE-C2F12F89BFBB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(DATOS!$F$17,DATOS!$H$17,DATOS!$J$17,DATOS!$L$17,DATOS!$N$17,DATOS!$P$17)</c:f>
              <c:strCache>
                <c:ptCount val="6"/>
                <c:pt idx="0">
                  <c:v>Bubble Sort:</c:v>
                </c:pt>
                <c:pt idx="1">
                  <c:v>Selection Sort:</c:v>
                </c:pt>
                <c:pt idx="2">
                  <c:v>Insertion Sort:</c:v>
                </c:pt>
                <c:pt idx="3">
                  <c:v>Merge Sort:</c:v>
                </c:pt>
                <c:pt idx="4">
                  <c:v>Quick Sort:</c:v>
                </c:pt>
                <c:pt idx="5">
                  <c:v>Heap Sort:</c:v>
                </c:pt>
              </c:strCache>
            </c:strRef>
          </c:cat>
          <c:val>
            <c:numRef>
              <c:f>(DATOS!$F$21,DATOS!$H$21,DATOS!$J$21,DATOS!$L$21,DATOS!$N$21,DATOS!$P$21)</c:f>
              <c:numCache>
                <c:formatCode>0.00" s"</c:formatCode>
                <c:ptCount val="6"/>
                <c:pt idx="0">
                  <c:v>6425.6921400000001</c:v>
                </c:pt>
                <c:pt idx="1">
                  <c:v>1067.2191200000002</c:v>
                </c:pt>
                <c:pt idx="2">
                  <c:v>2109.7638199999997</c:v>
                </c:pt>
                <c:pt idx="3">
                  <c:v>0.43976999999999999</c:v>
                </c:pt>
                <c:pt idx="4">
                  <c:v>0.20379</c:v>
                </c:pt>
                <c:pt idx="5">
                  <c:v>0.45382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FDC-43A2-8ACE-C2F12F89BFBB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(DATOS!$F$17,DATOS!$H$17,DATOS!$J$17,DATOS!$L$17,DATOS!$N$17,DATOS!$P$17)</c:f>
              <c:strCache>
                <c:ptCount val="6"/>
                <c:pt idx="0">
                  <c:v>Bubble Sort:</c:v>
                </c:pt>
                <c:pt idx="1">
                  <c:v>Selection Sort:</c:v>
                </c:pt>
                <c:pt idx="2">
                  <c:v>Insertion Sort:</c:v>
                </c:pt>
                <c:pt idx="3">
                  <c:v>Merge Sort:</c:v>
                </c:pt>
                <c:pt idx="4">
                  <c:v>Quick Sort:</c:v>
                </c:pt>
                <c:pt idx="5">
                  <c:v>Heap Sort:</c:v>
                </c:pt>
              </c:strCache>
            </c:strRef>
          </c:cat>
          <c:val>
            <c:numRef>
              <c:f>(DATOS!$F$22,DATOS!$H$22,DATOS!$J$22,DATOS!$L$22,DATOS!$N$22,DATOS!$P$22)</c:f>
              <c:numCache>
                <c:formatCode>0.00" s"</c:formatCode>
                <c:ptCount val="6"/>
                <c:pt idx="0">
                  <c:v>6338.2145799999998</c:v>
                </c:pt>
                <c:pt idx="1">
                  <c:v>1059.7849099999999</c:v>
                </c:pt>
                <c:pt idx="2">
                  <c:v>2095.2713799999997</c:v>
                </c:pt>
                <c:pt idx="3">
                  <c:v>0.43132999999999999</c:v>
                </c:pt>
                <c:pt idx="4">
                  <c:v>0.20352999999999999</c:v>
                </c:pt>
                <c:pt idx="5">
                  <c:v>0.46826999999999996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FDC-43A2-8ACE-C2F12F89BF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91789456"/>
        <c:axId val="1691791536"/>
      </c:barChart>
      <c:catAx>
        <c:axId val="1691789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HN"/>
          </a:p>
        </c:txPr>
        <c:crossAx val="1691791536"/>
        <c:crosses val="autoZero"/>
        <c:auto val="1"/>
        <c:lblAlgn val="ctr"/>
        <c:lblOffset val="100"/>
        <c:noMultiLvlLbl val="0"/>
      </c:catAx>
      <c:valAx>
        <c:axId val="1691791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&quot; s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HN"/>
          </a:p>
        </c:txPr>
        <c:crossAx val="1691789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H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H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Crecimiento de</a:t>
            </a:r>
            <a:r>
              <a:rPr lang="en-US" baseline="0"/>
              <a:t> Bubble Sort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DATOS!$F$27</c:f>
              <c:strCache>
                <c:ptCount val="1"/>
                <c:pt idx="0">
                  <c:v>Bubble</c:v>
                </c:pt>
              </c:strCache>
            </c:strRef>
          </c:tx>
          <c:marker>
            <c:symbol val="none"/>
          </c:marker>
          <c:cat>
            <c:strRef>
              <c:f>DATOS!$E$28:$E$30</c:f>
              <c:strCache>
                <c:ptCount val="3"/>
                <c:pt idx="0">
                  <c:v>1000</c:v>
                </c:pt>
                <c:pt idx="1">
                  <c:v>10000</c:v>
                </c:pt>
                <c:pt idx="2">
                  <c:v>1,000,000</c:v>
                </c:pt>
              </c:strCache>
            </c:strRef>
          </c:cat>
          <c:val>
            <c:numRef>
              <c:f>DATOS!$F$28:$F$30</c:f>
              <c:numCache>
                <c:formatCode>0.00" ms"</c:formatCode>
                <c:ptCount val="3"/>
                <c:pt idx="0" formatCode="0.000&quot; ms&quot;">
                  <c:v>8.9380000000000006</c:v>
                </c:pt>
                <c:pt idx="1">
                  <c:v>879.41599999999994</c:v>
                </c:pt>
                <c:pt idx="2" formatCode="0.000&quot; ms&quot;">
                  <c:v>6341350.5239999993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418-445D-8237-4151BAC713F3}"/>
            </c:ext>
          </c:extLst>
        </c:ser>
        <c:ser>
          <c:idx val="0"/>
          <c:order val="1"/>
          <c:tx>
            <c:strRef>
              <c:f>DATOS!$F$27</c:f>
              <c:strCache>
                <c:ptCount val="1"/>
                <c:pt idx="0">
                  <c:v>Bubble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DATOS!$E$28:$E$30</c:f>
              <c:strCache>
                <c:ptCount val="3"/>
                <c:pt idx="0">
                  <c:v>1000</c:v>
                </c:pt>
                <c:pt idx="1">
                  <c:v>10000</c:v>
                </c:pt>
                <c:pt idx="2">
                  <c:v>1,000,000</c:v>
                </c:pt>
              </c:strCache>
            </c:strRef>
          </c:cat>
          <c:val>
            <c:numRef>
              <c:f>DATOS!$F$28:$F$30</c:f>
              <c:numCache>
                <c:formatCode>0.00" ms"</c:formatCode>
                <c:ptCount val="3"/>
                <c:pt idx="0" formatCode="0.000&quot; ms&quot;">
                  <c:v>8.9380000000000006</c:v>
                </c:pt>
                <c:pt idx="1">
                  <c:v>879.41599999999994</c:v>
                </c:pt>
                <c:pt idx="2" formatCode="0.000&quot; ms&quot;">
                  <c:v>6341350.5239999993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418-445D-8237-4151BAC713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2220928"/>
        <c:axId val="1702221344"/>
      </c:lineChart>
      <c:catAx>
        <c:axId val="1702220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HN"/>
          </a:p>
        </c:txPr>
        <c:crossAx val="1702221344"/>
        <c:crosses val="autoZero"/>
        <c:auto val="1"/>
        <c:lblAlgn val="ctr"/>
        <c:lblOffset val="100"/>
        <c:noMultiLvlLbl val="0"/>
      </c:catAx>
      <c:valAx>
        <c:axId val="170222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&quot; ms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HN"/>
          </a:p>
        </c:txPr>
        <c:crossAx val="1702220928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/>
      </a:pPr>
      <a:endParaRPr lang="es-H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Crecimiento de</a:t>
            </a:r>
            <a:r>
              <a:rPr lang="en-US" baseline="0"/>
              <a:t> Selection 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H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DATOS!$G$27</c:f>
              <c:strCache>
                <c:ptCount val="1"/>
                <c:pt idx="0">
                  <c:v>Selection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DATOS!$E$28:$E$30</c:f>
              <c:strCache>
                <c:ptCount val="3"/>
                <c:pt idx="0">
                  <c:v>1000</c:v>
                </c:pt>
                <c:pt idx="1">
                  <c:v>10000</c:v>
                </c:pt>
                <c:pt idx="2">
                  <c:v>1,000,000</c:v>
                </c:pt>
              </c:strCache>
            </c:strRef>
          </c:cat>
          <c:val>
            <c:numRef>
              <c:f>DATOS!$G$28:$G$30</c:f>
              <c:numCache>
                <c:formatCode>0.000" ms"</c:formatCode>
                <c:ptCount val="3"/>
                <c:pt idx="0">
                  <c:v>2.0259999999999998</c:v>
                </c:pt>
                <c:pt idx="1">
                  <c:v>104.52200000000001</c:v>
                </c:pt>
                <c:pt idx="2">
                  <c:v>1062313.5060000001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CE-4DBA-9C49-FC5ACA3630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2220928"/>
        <c:axId val="1702221344"/>
      </c:lineChart>
      <c:catAx>
        <c:axId val="1702220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HN"/>
          </a:p>
        </c:txPr>
        <c:crossAx val="1702221344"/>
        <c:crosses val="autoZero"/>
        <c:auto val="1"/>
        <c:lblAlgn val="ctr"/>
        <c:lblOffset val="100"/>
        <c:noMultiLvlLbl val="0"/>
      </c:catAx>
      <c:valAx>
        <c:axId val="170222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&quot; ms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HN"/>
          </a:p>
        </c:txPr>
        <c:crossAx val="1702220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H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Crecimiento de</a:t>
            </a:r>
            <a:r>
              <a:rPr lang="en-US" baseline="0"/>
              <a:t> Insertion 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H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DATOS!$H$27</c:f>
              <c:strCache>
                <c:ptCount val="1"/>
                <c:pt idx="0">
                  <c:v>Insertion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DATOS!$E$28:$E$30</c:f>
              <c:strCache>
                <c:ptCount val="3"/>
                <c:pt idx="0">
                  <c:v>1000</c:v>
                </c:pt>
                <c:pt idx="1">
                  <c:v>10000</c:v>
                </c:pt>
                <c:pt idx="2">
                  <c:v>1,000,000</c:v>
                </c:pt>
              </c:strCache>
            </c:strRef>
          </c:cat>
          <c:val>
            <c:numRef>
              <c:f>DATOS!$H$28:$H$30</c:f>
              <c:numCache>
                <c:formatCode>0.000" ms"</c:formatCode>
                <c:ptCount val="3"/>
                <c:pt idx="0">
                  <c:v>2.38</c:v>
                </c:pt>
                <c:pt idx="1">
                  <c:v>211.33600000000001</c:v>
                </c:pt>
                <c:pt idx="2">
                  <c:v>2100618.8280000002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E2-4232-893B-7377733539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2220928"/>
        <c:axId val="1702221344"/>
      </c:lineChart>
      <c:catAx>
        <c:axId val="1702220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HN"/>
          </a:p>
        </c:txPr>
        <c:crossAx val="1702221344"/>
        <c:crosses val="autoZero"/>
        <c:auto val="1"/>
        <c:lblAlgn val="ctr"/>
        <c:lblOffset val="100"/>
        <c:noMultiLvlLbl val="0"/>
      </c:catAx>
      <c:valAx>
        <c:axId val="170222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&quot; ms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HN"/>
          </a:p>
        </c:txPr>
        <c:crossAx val="1702220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H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Crecimiento de</a:t>
            </a:r>
            <a:r>
              <a:rPr lang="en-US" baseline="0"/>
              <a:t> merge 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H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DATOS!$I$27</c:f>
              <c:strCache>
                <c:ptCount val="1"/>
                <c:pt idx="0">
                  <c:v>Merge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DATOS!$E$28:$E$30</c:f>
              <c:strCache>
                <c:ptCount val="3"/>
                <c:pt idx="0">
                  <c:v>1000</c:v>
                </c:pt>
                <c:pt idx="1">
                  <c:v>10000</c:v>
                </c:pt>
                <c:pt idx="2">
                  <c:v>1,000,000</c:v>
                </c:pt>
              </c:strCache>
            </c:strRef>
          </c:cat>
          <c:val>
            <c:numRef>
              <c:f>DATOS!$I$28:$I$30</c:f>
              <c:numCache>
                <c:formatCode>0.000" ms"</c:formatCode>
                <c:ptCount val="3"/>
                <c:pt idx="0">
                  <c:v>0.46399999999999997</c:v>
                </c:pt>
                <c:pt idx="1">
                  <c:v>39.624000000000002</c:v>
                </c:pt>
                <c:pt idx="2">
                  <c:v>447.42200000000003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EE-4B93-9BB5-2220620BBB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2220928"/>
        <c:axId val="1702221344"/>
      </c:lineChart>
      <c:catAx>
        <c:axId val="1702220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HN"/>
          </a:p>
        </c:txPr>
        <c:crossAx val="1702221344"/>
        <c:crosses val="autoZero"/>
        <c:auto val="1"/>
        <c:lblAlgn val="ctr"/>
        <c:lblOffset val="100"/>
        <c:noMultiLvlLbl val="0"/>
      </c:catAx>
      <c:valAx>
        <c:axId val="170222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&quot; ms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HN"/>
          </a:p>
        </c:txPr>
        <c:crossAx val="1702220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H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Crecimiento de</a:t>
            </a:r>
            <a:r>
              <a:rPr lang="en-US" baseline="0"/>
              <a:t> Quick 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H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DATOS!$J$27</c:f>
              <c:strCache>
                <c:ptCount val="1"/>
                <c:pt idx="0">
                  <c:v>Quick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DATOS!$E$28:$E$30</c:f>
              <c:strCache>
                <c:ptCount val="3"/>
                <c:pt idx="0">
                  <c:v>1000</c:v>
                </c:pt>
                <c:pt idx="1">
                  <c:v>10000</c:v>
                </c:pt>
                <c:pt idx="2">
                  <c:v>1,000,000</c:v>
                </c:pt>
              </c:strCache>
            </c:strRef>
          </c:cat>
          <c:val>
            <c:numRef>
              <c:f>DATOS!$J$28:$J$30</c:f>
              <c:numCache>
                <c:formatCode>0.000" ms"</c:formatCode>
                <c:ptCount val="3"/>
                <c:pt idx="0">
                  <c:v>0.10200000000000001</c:v>
                </c:pt>
                <c:pt idx="1">
                  <c:v>17.045999999999999</c:v>
                </c:pt>
                <c:pt idx="2">
                  <c:v>201.44399999999999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0E-47C3-AFBA-BE7E6B2E35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2220928"/>
        <c:axId val="1702221344"/>
      </c:lineChart>
      <c:catAx>
        <c:axId val="1702220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HN"/>
          </a:p>
        </c:txPr>
        <c:crossAx val="1702221344"/>
        <c:crosses val="autoZero"/>
        <c:auto val="1"/>
        <c:lblAlgn val="ctr"/>
        <c:lblOffset val="100"/>
        <c:noMultiLvlLbl val="0"/>
      </c:catAx>
      <c:valAx>
        <c:axId val="170222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&quot; ms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HN"/>
          </a:p>
        </c:txPr>
        <c:crossAx val="1702220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H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Crecimiento de</a:t>
            </a:r>
            <a:r>
              <a:rPr lang="en-US" baseline="0"/>
              <a:t> Heap Sort</a:t>
            </a:r>
          </a:p>
        </c:rich>
      </c:tx>
      <c:layout>
        <c:manualLayout>
          <c:xMode val="edge"/>
          <c:yMode val="edge"/>
          <c:x val="0.5780388745419660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H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DATOS!$K$27</c:f>
              <c:strCache>
                <c:ptCount val="1"/>
                <c:pt idx="0">
                  <c:v>Heap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DATOS!$E$28:$E$30</c:f>
              <c:strCache>
                <c:ptCount val="3"/>
                <c:pt idx="0">
                  <c:v>1000</c:v>
                </c:pt>
                <c:pt idx="1">
                  <c:v>10000</c:v>
                </c:pt>
                <c:pt idx="2">
                  <c:v>1,000,000</c:v>
                </c:pt>
              </c:strCache>
            </c:strRef>
          </c:cat>
          <c:val>
            <c:numRef>
              <c:f>DATOS!$K$28:$K$30</c:f>
              <c:numCache>
                <c:formatCode>0.000" ms"</c:formatCode>
                <c:ptCount val="3"/>
                <c:pt idx="0">
                  <c:v>0.20400000000000001</c:v>
                </c:pt>
                <c:pt idx="1">
                  <c:v>35.384</c:v>
                </c:pt>
                <c:pt idx="2">
                  <c:v>456.55399999999992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D7-4C06-AC45-7DB403B97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2220928"/>
        <c:axId val="1702221344"/>
      </c:lineChart>
      <c:catAx>
        <c:axId val="1702220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HN"/>
          </a:p>
        </c:txPr>
        <c:crossAx val="1702221344"/>
        <c:crosses val="autoZero"/>
        <c:auto val="1"/>
        <c:lblAlgn val="ctr"/>
        <c:lblOffset val="100"/>
        <c:noMultiLvlLbl val="0"/>
      </c:catAx>
      <c:valAx>
        <c:axId val="170222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&quot; ms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HN"/>
          </a:p>
        </c:txPr>
        <c:crossAx val="1702220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H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HN"/>
              <a:t>Crecimiento</a:t>
            </a:r>
            <a:r>
              <a:rPr lang="es-HN" baseline="0"/>
              <a:t> Ordenamiento n2</a:t>
            </a:r>
            <a:endParaRPr lang="es-H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H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DATOS!$F$27</c:f>
              <c:strCache>
                <c:ptCount val="1"/>
                <c:pt idx="0">
                  <c:v>Bubble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DATOS!$F$28:$F$30</c:f>
              <c:numCache>
                <c:formatCode>0.00" ms"</c:formatCode>
                <c:ptCount val="3"/>
                <c:pt idx="0" formatCode="0.000&quot; ms&quot;">
                  <c:v>8.9380000000000006</c:v>
                </c:pt>
                <c:pt idx="1">
                  <c:v>879.41599999999994</c:v>
                </c:pt>
                <c:pt idx="2" formatCode="0.000&quot; ms&quot;">
                  <c:v>6341350.5239999993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79-4C91-8CBC-AEC4AC5BC76A}"/>
            </c:ext>
          </c:extLst>
        </c:ser>
        <c:ser>
          <c:idx val="1"/>
          <c:order val="1"/>
          <c:tx>
            <c:strRef>
              <c:f>DATOS!$G$27</c:f>
              <c:strCache>
                <c:ptCount val="1"/>
                <c:pt idx="0">
                  <c:v>Selection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DATOS!$G$28:$G$30</c:f>
              <c:numCache>
                <c:formatCode>0.000" ms"</c:formatCode>
                <c:ptCount val="3"/>
                <c:pt idx="0">
                  <c:v>2.0259999999999998</c:v>
                </c:pt>
                <c:pt idx="1">
                  <c:v>104.52200000000001</c:v>
                </c:pt>
                <c:pt idx="2">
                  <c:v>1062313.5060000001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79-4C91-8CBC-AEC4AC5BC76A}"/>
            </c:ext>
          </c:extLst>
        </c:ser>
        <c:ser>
          <c:idx val="2"/>
          <c:order val="2"/>
          <c:tx>
            <c:strRef>
              <c:f>DATOS!$H$27</c:f>
              <c:strCache>
                <c:ptCount val="1"/>
                <c:pt idx="0">
                  <c:v>Insertion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DATOS!$H$28:$H$30</c:f>
              <c:numCache>
                <c:formatCode>0.000" ms"</c:formatCode>
                <c:ptCount val="3"/>
                <c:pt idx="0">
                  <c:v>2.38</c:v>
                </c:pt>
                <c:pt idx="1">
                  <c:v>211.33600000000001</c:v>
                </c:pt>
                <c:pt idx="2">
                  <c:v>2100618.8280000002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79-4C91-8CBC-AEC4AC5BC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2688912"/>
        <c:axId val="1842689328"/>
      </c:lineChart>
      <c:catAx>
        <c:axId val="1842688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HN"/>
          </a:p>
        </c:txPr>
        <c:crossAx val="1842689328"/>
        <c:crosses val="autoZero"/>
        <c:auto val="1"/>
        <c:lblAlgn val="ctr"/>
        <c:lblOffset val="100"/>
        <c:noMultiLvlLbl val="0"/>
      </c:catAx>
      <c:valAx>
        <c:axId val="184268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&quot; ms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HN"/>
          </a:p>
        </c:txPr>
        <c:crossAx val="1842688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H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H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HN"/>
              <a:t>Crecimiento</a:t>
            </a:r>
            <a:r>
              <a:rPr lang="es-HN" baseline="0"/>
              <a:t> Ordenamiento nlog(n)</a:t>
            </a:r>
            <a:endParaRPr lang="es-H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H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DATOS!$I$27</c:f>
              <c:strCache>
                <c:ptCount val="1"/>
                <c:pt idx="0">
                  <c:v>Merge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DATOS!$E$28:$E$30</c:f>
              <c:strCache>
                <c:ptCount val="3"/>
                <c:pt idx="0">
                  <c:v>1000</c:v>
                </c:pt>
                <c:pt idx="1">
                  <c:v>10000</c:v>
                </c:pt>
                <c:pt idx="2">
                  <c:v>1,000,000</c:v>
                </c:pt>
              </c:strCache>
            </c:strRef>
          </c:cat>
          <c:val>
            <c:numRef>
              <c:f>DATOS!$I$28:$I$30</c:f>
              <c:numCache>
                <c:formatCode>0.000" ms"</c:formatCode>
                <c:ptCount val="3"/>
                <c:pt idx="0">
                  <c:v>0.46399999999999997</c:v>
                </c:pt>
                <c:pt idx="1">
                  <c:v>39.624000000000002</c:v>
                </c:pt>
                <c:pt idx="2">
                  <c:v>447.42200000000003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C4-4F2E-B22A-691F317B99D1}"/>
            </c:ext>
          </c:extLst>
        </c:ser>
        <c:ser>
          <c:idx val="1"/>
          <c:order val="1"/>
          <c:tx>
            <c:strRef>
              <c:f>DATOS!$J$27</c:f>
              <c:strCache>
                <c:ptCount val="1"/>
                <c:pt idx="0">
                  <c:v>Quick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DATOS!$E$28:$E$30</c:f>
              <c:strCache>
                <c:ptCount val="3"/>
                <c:pt idx="0">
                  <c:v>1000</c:v>
                </c:pt>
                <c:pt idx="1">
                  <c:v>10000</c:v>
                </c:pt>
                <c:pt idx="2">
                  <c:v>1,000,000</c:v>
                </c:pt>
              </c:strCache>
            </c:strRef>
          </c:cat>
          <c:val>
            <c:numRef>
              <c:f>DATOS!$J$28:$J$30</c:f>
              <c:numCache>
                <c:formatCode>0.000" ms"</c:formatCode>
                <c:ptCount val="3"/>
                <c:pt idx="0">
                  <c:v>0.10200000000000001</c:v>
                </c:pt>
                <c:pt idx="1">
                  <c:v>17.045999999999999</c:v>
                </c:pt>
                <c:pt idx="2">
                  <c:v>201.44399999999999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C4-4F2E-B22A-691F317B99D1}"/>
            </c:ext>
          </c:extLst>
        </c:ser>
        <c:ser>
          <c:idx val="2"/>
          <c:order val="2"/>
          <c:tx>
            <c:strRef>
              <c:f>DATOS!$K$27</c:f>
              <c:strCache>
                <c:ptCount val="1"/>
                <c:pt idx="0">
                  <c:v>Heap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DATOS!$E$28:$E$30</c:f>
              <c:strCache>
                <c:ptCount val="3"/>
                <c:pt idx="0">
                  <c:v>1000</c:v>
                </c:pt>
                <c:pt idx="1">
                  <c:v>10000</c:v>
                </c:pt>
                <c:pt idx="2">
                  <c:v>1,000,000</c:v>
                </c:pt>
              </c:strCache>
            </c:strRef>
          </c:cat>
          <c:val>
            <c:numRef>
              <c:f>DATOS!$K$28:$K$30</c:f>
              <c:numCache>
                <c:formatCode>0.000" ms"</c:formatCode>
                <c:ptCount val="3"/>
                <c:pt idx="0">
                  <c:v>0.20400000000000001</c:v>
                </c:pt>
                <c:pt idx="1">
                  <c:v>35.384</c:v>
                </c:pt>
                <c:pt idx="2">
                  <c:v>456.55399999999992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C4-4F2E-B22A-691F317B99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2688912"/>
        <c:axId val="1842689328"/>
      </c:lineChart>
      <c:catAx>
        <c:axId val="1842688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HN"/>
          </a:p>
        </c:txPr>
        <c:crossAx val="1842689328"/>
        <c:crosses val="autoZero"/>
        <c:auto val="1"/>
        <c:lblAlgn val="ctr"/>
        <c:lblOffset val="100"/>
        <c:noMultiLvlLbl val="0"/>
      </c:catAx>
      <c:valAx>
        <c:axId val="184268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&quot; ms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HN"/>
          </a:p>
        </c:txPr>
        <c:crossAx val="1842688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H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H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552449</xdr:colOff>
      <xdr:row>5</xdr:row>
      <xdr:rowOff>0</xdr:rowOff>
    </xdr:from>
    <xdr:to>
      <xdr:col>10</xdr:col>
      <xdr:colOff>498763</xdr:colOff>
      <xdr:row>26</xdr:row>
      <xdr:rowOff>138546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FC887F5-1C90-4EA3-8753-C5193962FF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742949</xdr:colOff>
      <xdr:row>4</xdr:row>
      <xdr:rowOff>171450</xdr:rowOff>
    </xdr:from>
    <xdr:to>
      <xdr:col>21</xdr:col>
      <xdr:colOff>748144</xdr:colOff>
      <xdr:row>26</xdr:row>
      <xdr:rowOff>138546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D9B194C-6EA0-45D8-9E57-5530DF9BB3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114300</xdr:colOff>
      <xdr:row>5</xdr:row>
      <xdr:rowOff>57150</xdr:rowOff>
    </xdr:from>
    <xdr:to>
      <xdr:col>31</xdr:col>
      <xdr:colOff>623454</xdr:colOff>
      <xdr:row>26</xdr:row>
      <xdr:rowOff>166255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4364B2B-4240-4179-A702-00652A61F6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6</xdr:col>
      <xdr:colOff>628897</xdr:colOff>
      <xdr:row>47</xdr:row>
      <xdr:rowOff>742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E83519E-FAEC-4861-A4CE-6F419E5F89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109104</xdr:colOff>
      <xdr:row>32</xdr:row>
      <xdr:rowOff>27709</xdr:rowOff>
    </xdr:from>
    <xdr:to>
      <xdr:col>12</xdr:col>
      <xdr:colOff>742950</xdr:colOff>
      <xdr:row>47</xdr:row>
      <xdr:rowOff>25730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4E9984A8-4F32-4AF3-953A-8D766080D9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540327</xdr:colOff>
      <xdr:row>32</xdr:row>
      <xdr:rowOff>27709</xdr:rowOff>
    </xdr:from>
    <xdr:to>
      <xdr:col>19</xdr:col>
      <xdr:colOff>379515</xdr:colOff>
      <xdr:row>47</xdr:row>
      <xdr:rowOff>28451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6ED6E9F5-345A-4B5F-A37F-3CB23CFB6F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19</xdr:col>
      <xdr:colOff>775855</xdr:colOff>
      <xdr:row>32</xdr:row>
      <xdr:rowOff>13855</xdr:rowOff>
    </xdr:from>
    <xdr:to>
      <xdr:col>25</xdr:col>
      <xdr:colOff>615044</xdr:colOff>
      <xdr:row>47</xdr:row>
      <xdr:rowOff>14597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FC974845-8126-49E0-847C-0A1282F0A2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26</xdr:col>
      <xdr:colOff>476250</xdr:colOff>
      <xdr:row>32</xdr:row>
      <xdr:rowOff>0</xdr:rowOff>
    </xdr:from>
    <xdr:to>
      <xdr:col>32</xdr:col>
      <xdr:colOff>253093</xdr:colOff>
      <xdr:row>46</xdr:row>
      <xdr:rowOff>35378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7DD475B0-7A2A-4509-B77F-C70F92EF48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33</xdr:col>
      <xdr:colOff>38100</xdr:colOff>
      <xdr:row>32</xdr:row>
      <xdr:rowOff>57150</xdr:rowOff>
    </xdr:from>
    <xdr:to>
      <xdr:col>38</xdr:col>
      <xdr:colOff>615043</xdr:colOff>
      <xdr:row>46</xdr:row>
      <xdr:rowOff>92528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489AA86E-898E-4A2C-8A78-E729011C5D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50</xdr:row>
      <xdr:rowOff>0</xdr:rowOff>
    </xdr:from>
    <xdr:to>
      <xdr:col>6</xdr:col>
      <xdr:colOff>625375</xdr:colOff>
      <xdr:row>65</xdr:row>
      <xdr:rowOff>41563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C84F460F-2D51-4EDF-AFB1-0622870D31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235527</xdr:colOff>
      <xdr:row>50</xdr:row>
      <xdr:rowOff>13854</xdr:rowOff>
    </xdr:from>
    <xdr:to>
      <xdr:col>13</xdr:col>
      <xdr:colOff>666065</xdr:colOff>
      <xdr:row>65</xdr:row>
      <xdr:rowOff>55418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A434B1DF-833D-4C3F-B772-D0B1CFA32E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1D24BE-1E51-4A2C-A40E-9C8FA1DF118A}" name="Tabla2" displayName="Tabla2" ref="E27:K30" totalsRowShown="0" headerRowDxfId="21" dataDxfId="20">
  <autoFilter ref="E27:K30" xr:uid="{E01D24BE-1E51-4A2C-A40E-9C8FA1DF118A}"/>
  <tableColumns count="7">
    <tableColumn id="1" xr3:uid="{E589A6CC-FFB5-48AF-A61B-59E86C96E905}" name="N" dataDxfId="19"/>
    <tableColumn id="2" xr3:uid="{BEC2A5F6-73BB-4E3E-A75D-94065C4D9E2F}" name="Bubble"/>
    <tableColumn id="3" xr3:uid="{ABA7C4C2-7983-43A2-8862-ECB16C06A306}" name="Selection" dataDxfId="18"/>
    <tableColumn id="4" xr3:uid="{34F7E1EB-C0D7-498F-8FC8-7944E3762823}" name="Insertion" dataDxfId="17"/>
    <tableColumn id="5" xr3:uid="{D6C79EE0-C5F1-4D58-9F56-D362A1347691}" name="Merge" dataDxfId="16"/>
    <tableColumn id="6" xr3:uid="{9CC995B2-92AD-4408-8E55-7499FC74629F}" name="Quick" dataDxfId="15"/>
    <tableColumn id="7" xr3:uid="{2EBC0599-42DF-4506-A7D3-F17BA4F65479}" name="Heap" dataDxfId="1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2C2A5BF-9DEF-4494-8045-7E756EAD170B}" name="Tabla3" displayName="Tabla3" ref="E2:P22" totalsRowShown="0" headerRowDxfId="13" dataDxfId="12">
  <autoFilter ref="E2:P22" xr:uid="{82C2A5BF-9DEF-4494-8045-7E756EAD170B}"/>
  <tableColumns count="12">
    <tableColumn id="1" xr3:uid="{DF79B263-2934-477F-8D81-925F6E55B80B}" name="Columna1" dataDxfId="11"/>
    <tableColumn id="2" xr3:uid="{8205188E-A306-4FCA-B0C0-5E802A58A425}" name="Columna2" dataDxfId="10" dataCellStyle="Millares">
      <calculatedColumnFormula>E3/$B$2</calculatedColumnFormula>
    </tableColumn>
    <tableColumn id="3" xr3:uid="{77644A17-5A3B-402E-945A-C4D96AFBF3EE}" name="Columna3" dataDxfId="9"/>
    <tableColumn id="5" xr3:uid="{FD51F543-101C-4481-A0A8-88F7B740B4C4}" name="Columna5" dataDxfId="8" dataCellStyle="Millares"/>
    <tableColumn id="6" xr3:uid="{2D57C6E6-2116-45A6-8BC3-90FEB13B3353}" name="Columna6" dataDxfId="5" dataCellStyle="Millares"/>
    <tableColumn id="7" xr3:uid="{F58500E9-B774-474A-8503-9A091BA0083D}" name="Columna7" dataDxfId="4" dataCellStyle="Millares"/>
    <tableColumn id="9" xr3:uid="{57157E86-CEE6-4A84-B345-B0EB257E2CB8}" name="Columna9" dataDxfId="7"/>
    <tableColumn id="10" xr3:uid="{72A8C71D-9848-4B29-857D-F08FB47920D1}" name="Columna10" dataDxfId="6" dataCellStyle="Millares"/>
    <tableColumn id="11" xr3:uid="{30F1FBFF-AC71-4212-8839-6277F189DE65}" name="Columna11" dataDxfId="1"/>
    <tableColumn id="12" xr3:uid="{AD42476B-E86B-46DD-8B7F-D049EAC67387}" name="Columna12" dataDxfId="0" dataCellStyle="Millares"/>
    <tableColumn id="13" xr3:uid="{5278C637-F705-491E-AF0D-D3EEB52FE3EF}" name="Columna13" dataDxfId="3" dataCellStyle="Millares"/>
    <tableColumn id="14" xr3:uid="{5E0BFF03-93CE-4E19-939E-78369869C79A}" name="Columna14" dataDxfId="2" dataCellStyle="Millar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EE313-F546-48AB-BB50-50F36975394F}">
  <dimension ref="B1:AA36"/>
  <sheetViews>
    <sheetView tabSelected="1" zoomScale="56" zoomScaleNormal="55" workbookViewId="0">
      <selection activeCell="I37" sqref="I37"/>
    </sheetView>
  </sheetViews>
  <sheetFormatPr baseColWidth="10" defaultRowHeight="13.8" x14ac:dyDescent="0.25"/>
  <cols>
    <col min="1" max="1" width="19.33203125" style="1" customWidth="1"/>
    <col min="2" max="2" width="17.109375" style="1" customWidth="1"/>
    <col min="3" max="3" width="6.21875" style="1" customWidth="1"/>
    <col min="4" max="4" width="18.109375" style="1" customWidth="1"/>
    <col min="5" max="6" width="21.33203125" style="1" customWidth="1"/>
    <col min="7" max="7" width="18.33203125" style="1" customWidth="1"/>
    <col min="8" max="8" width="21.44140625" style="1" customWidth="1"/>
    <col min="9" max="10" width="23.21875" style="1" customWidth="1"/>
    <col min="11" max="11" width="19.6640625" style="1" customWidth="1"/>
    <col min="12" max="12" width="19" style="1" customWidth="1"/>
    <col min="13" max="14" width="19.33203125" style="1" customWidth="1"/>
    <col min="15" max="15" width="19.109375" style="1" customWidth="1"/>
    <col min="16" max="16" width="19.77734375" style="1" customWidth="1"/>
    <col min="17" max="18" width="19.44140625" style="1" customWidth="1"/>
    <col min="19" max="19" width="14.21875" style="1" customWidth="1"/>
    <col min="20" max="20" width="13.33203125" style="1" customWidth="1"/>
    <col min="21" max="22" width="19.6640625" style="1" customWidth="1"/>
    <col min="23" max="23" width="14.109375" style="1" customWidth="1"/>
    <col min="24" max="24" width="13.77734375" style="1" customWidth="1"/>
    <col min="25" max="26" width="17.6640625" style="1" customWidth="1"/>
    <col min="27" max="27" width="16.77734375" style="1" customWidth="1"/>
    <col min="28" max="16384" width="11.5546875" style="1"/>
  </cols>
  <sheetData>
    <row r="1" spans="2:27" x14ac:dyDescent="0.25"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2:27" ht="14.4" thickBot="1" x14ac:dyDescent="0.3">
      <c r="B2" s="1">
        <v>1000</v>
      </c>
      <c r="E2" s="3" t="s">
        <v>7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3" t="s">
        <v>28</v>
      </c>
      <c r="N2" s="3" t="s">
        <v>29</v>
      </c>
      <c r="O2" s="3" t="s">
        <v>30</v>
      </c>
      <c r="P2" s="3" t="s">
        <v>31</v>
      </c>
    </row>
    <row r="3" spans="2:27" ht="14.4" thickBot="1" x14ac:dyDescent="0.3">
      <c r="D3" s="30" t="s">
        <v>14</v>
      </c>
      <c r="E3" s="11" t="s">
        <v>8</v>
      </c>
      <c r="F3" s="12"/>
      <c r="G3" s="11" t="s">
        <v>9</v>
      </c>
      <c r="H3" s="25"/>
      <c r="I3" s="11" t="s">
        <v>10</v>
      </c>
      <c r="J3" s="12"/>
      <c r="K3" s="11" t="s">
        <v>11</v>
      </c>
      <c r="L3" s="25"/>
      <c r="M3" s="28" t="s">
        <v>12</v>
      </c>
      <c r="N3" s="25"/>
      <c r="O3" s="28" t="s">
        <v>13</v>
      </c>
      <c r="P3" s="25"/>
    </row>
    <row r="4" spans="2:27" x14ac:dyDescent="0.25">
      <c r="D4" s="2"/>
      <c r="E4" s="13">
        <v>8.73</v>
      </c>
      <c r="F4" s="14"/>
      <c r="G4" s="13">
        <v>1.98</v>
      </c>
      <c r="H4" s="19"/>
      <c r="I4" s="13">
        <v>2.34</v>
      </c>
      <c r="J4" s="14"/>
      <c r="K4" s="13">
        <v>0.45</v>
      </c>
      <c r="L4" s="19"/>
      <c r="M4" s="13">
        <v>0.11</v>
      </c>
      <c r="N4" s="19"/>
      <c r="O4" s="13">
        <v>0.2</v>
      </c>
      <c r="P4" s="19"/>
    </row>
    <row r="5" spans="2:27" x14ac:dyDescent="0.25">
      <c r="D5" s="2"/>
      <c r="E5" s="13">
        <v>9.1199999999999992</v>
      </c>
      <c r="F5" s="14"/>
      <c r="G5" s="13">
        <v>2.0699999999999998</v>
      </c>
      <c r="H5" s="19"/>
      <c r="I5" s="13">
        <v>2.41</v>
      </c>
      <c r="J5" s="14"/>
      <c r="K5" s="13">
        <v>0.48</v>
      </c>
      <c r="L5" s="19"/>
      <c r="M5" s="13">
        <v>0.1</v>
      </c>
      <c r="N5" s="19"/>
      <c r="O5" s="13">
        <v>0.21</v>
      </c>
      <c r="P5" s="19"/>
    </row>
    <row r="6" spans="2:27" x14ac:dyDescent="0.25">
      <c r="D6" s="2"/>
      <c r="E6" s="13">
        <v>8.9499999999999993</v>
      </c>
      <c r="F6" s="14"/>
      <c r="G6" s="13">
        <v>2.0099999999999998</v>
      </c>
      <c r="H6" s="19"/>
      <c r="I6" s="13">
        <v>2.37</v>
      </c>
      <c r="J6" s="14"/>
      <c r="K6" s="13">
        <v>0.47</v>
      </c>
      <c r="L6" s="19"/>
      <c r="M6" s="13">
        <v>0.1</v>
      </c>
      <c r="N6" s="19"/>
      <c r="O6" s="13">
        <v>0.2</v>
      </c>
      <c r="P6" s="19"/>
    </row>
    <row r="7" spans="2:27" x14ac:dyDescent="0.25">
      <c r="D7" s="2"/>
      <c r="E7" s="13">
        <v>9.08</v>
      </c>
      <c r="F7" s="14"/>
      <c r="G7" s="13">
        <v>2.11</v>
      </c>
      <c r="H7" s="19"/>
      <c r="I7" s="13">
        <v>2.4300000000000002</v>
      </c>
      <c r="J7" s="14"/>
      <c r="K7" s="13">
        <v>0.47</v>
      </c>
      <c r="L7" s="19"/>
      <c r="M7" s="13">
        <v>0.1</v>
      </c>
      <c r="N7" s="19"/>
      <c r="O7" s="13">
        <v>0.22</v>
      </c>
      <c r="P7" s="19"/>
    </row>
    <row r="8" spans="2:27" x14ac:dyDescent="0.25">
      <c r="D8" s="2"/>
      <c r="E8" s="13">
        <v>8.81</v>
      </c>
      <c r="F8" s="14"/>
      <c r="G8" s="13">
        <v>1.96</v>
      </c>
      <c r="H8" s="19"/>
      <c r="I8" s="13">
        <v>2.35</v>
      </c>
      <c r="J8" s="14"/>
      <c r="K8" s="13">
        <v>0.45</v>
      </c>
      <c r="L8" s="19"/>
      <c r="M8" s="13">
        <v>0.1</v>
      </c>
      <c r="N8" s="19"/>
      <c r="O8" s="13">
        <v>0.19</v>
      </c>
      <c r="P8" s="19"/>
    </row>
    <row r="9" spans="2:27" ht="14.4" thickBot="1" x14ac:dyDescent="0.3">
      <c r="E9" s="15"/>
      <c r="F9" s="14"/>
      <c r="G9" s="15"/>
      <c r="H9" s="19"/>
      <c r="I9" s="15"/>
      <c r="J9" s="14"/>
      <c r="K9" s="15"/>
      <c r="L9" s="19"/>
      <c r="M9" s="22"/>
      <c r="N9" s="19"/>
      <c r="O9" s="22"/>
      <c r="P9" s="19"/>
    </row>
    <row r="10" spans="2:27" ht="14.4" thickBot="1" x14ac:dyDescent="0.3">
      <c r="D10" s="30" t="s">
        <v>15</v>
      </c>
      <c r="E10" s="16" t="s">
        <v>8</v>
      </c>
      <c r="F10" s="17" t="s">
        <v>17</v>
      </c>
      <c r="G10" s="16" t="s">
        <v>9</v>
      </c>
      <c r="H10" s="26" t="s">
        <v>17</v>
      </c>
      <c r="I10" s="16" t="s">
        <v>10</v>
      </c>
      <c r="J10" s="17" t="s">
        <v>17</v>
      </c>
      <c r="K10" s="16" t="s">
        <v>11</v>
      </c>
      <c r="L10" s="26" t="s">
        <v>17</v>
      </c>
      <c r="M10" s="16" t="s">
        <v>12</v>
      </c>
      <c r="N10" s="26" t="s">
        <v>17</v>
      </c>
      <c r="O10" s="16" t="s">
        <v>13</v>
      </c>
      <c r="P10" s="26" t="s">
        <v>17</v>
      </c>
    </row>
    <row r="11" spans="2:27" x14ac:dyDescent="0.25">
      <c r="D11" s="2"/>
      <c r="E11" s="18">
        <v>867.42</v>
      </c>
      <c r="F11" s="19">
        <f>E11/$B$2</f>
        <v>0.86741999999999997</v>
      </c>
      <c r="G11" s="18">
        <v>102.87</v>
      </c>
      <c r="H11" s="19">
        <f t="shared" ref="H11:H22" si="0">G11/$B$2</f>
        <v>0.10287</v>
      </c>
      <c r="I11" s="18">
        <v>208.34</v>
      </c>
      <c r="J11" s="19">
        <f>I11/$B$2</f>
        <v>0.20834</v>
      </c>
      <c r="K11" s="18">
        <v>46.46</v>
      </c>
      <c r="L11" s="19">
        <f>K11/$B$2</f>
        <v>4.6460000000000001E-2</v>
      </c>
      <c r="M11" s="22">
        <v>17.190000000000001</v>
      </c>
      <c r="N11" s="19">
        <f>M11/$B$2</f>
        <v>1.719E-2</v>
      </c>
      <c r="O11" s="22">
        <v>35.49</v>
      </c>
      <c r="P11" s="19">
        <f>O11/$B$2</f>
        <v>3.5490000000000001E-2</v>
      </c>
    </row>
    <row r="12" spans="2:27" x14ac:dyDescent="0.25">
      <c r="D12" s="2"/>
      <c r="E12" s="18">
        <v>891.15</v>
      </c>
      <c r="F12" s="19">
        <f>E12/$B$2</f>
        <v>0.89115</v>
      </c>
      <c r="G12" s="18">
        <v>106.42</v>
      </c>
      <c r="H12" s="19">
        <f t="shared" si="0"/>
        <v>0.10642</v>
      </c>
      <c r="I12" s="18">
        <v>214.87</v>
      </c>
      <c r="J12" s="19">
        <f>I12/$B$2</f>
        <v>0.21487000000000001</v>
      </c>
      <c r="K12" s="18">
        <v>38.31</v>
      </c>
      <c r="L12" s="19">
        <f t="shared" ref="L12:L15" si="1">K12/$B$2</f>
        <v>3.8310000000000004E-2</v>
      </c>
      <c r="M12" s="22">
        <v>16.920000000000002</v>
      </c>
      <c r="N12" s="19">
        <f t="shared" ref="N12:N15" si="2">M12/$B$2</f>
        <v>1.6920000000000001E-2</v>
      </c>
      <c r="O12" s="22">
        <v>35.19</v>
      </c>
      <c r="P12" s="19">
        <f t="shared" ref="P12:P15" si="3">O12/$B$2</f>
        <v>3.5189999999999999E-2</v>
      </c>
    </row>
    <row r="13" spans="2:27" x14ac:dyDescent="0.25">
      <c r="D13" s="2"/>
      <c r="E13" s="18">
        <v>873.68</v>
      </c>
      <c r="F13" s="19">
        <f>E13/$B$2</f>
        <v>0.8736799999999999</v>
      </c>
      <c r="G13" s="18">
        <v>103.91</v>
      </c>
      <c r="H13" s="19">
        <f t="shared" si="0"/>
        <v>0.10391</v>
      </c>
      <c r="I13" s="18">
        <v>210.52</v>
      </c>
      <c r="J13" s="19">
        <f>I13/$B$2</f>
        <v>0.21052000000000001</v>
      </c>
      <c r="K13" s="18">
        <v>37.6</v>
      </c>
      <c r="L13" s="19">
        <f t="shared" si="1"/>
        <v>3.7600000000000001E-2</v>
      </c>
      <c r="M13" s="22">
        <v>17.059999999999999</v>
      </c>
      <c r="N13" s="19">
        <f t="shared" si="2"/>
        <v>1.7059999999999999E-2</v>
      </c>
      <c r="O13" s="22">
        <v>35.75</v>
      </c>
      <c r="P13" s="19">
        <f t="shared" si="3"/>
        <v>3.5749999999999997E-2</v>
      </c>
    </row>
    <row r="14" spans="2:27" x14ac:dyDescent="0.25">
      <c r="D14" s="2"/>
      <c r="E14" s="18">
        <v>885.29</v>
      </c>
      <c r="F14" s="19">
        <f>E14/$B$2</f>
        <v>0.88528999999999991</v>
      </c>
      <c r="G14" s="18">
        <v>105.18</v>
      </c>
      <c r="H14" s="19">
        <f t="shared" si="0"/>
        <v>0.10518000000000001</v>
      </c>
      <c r="I14" s="18">
        <v>213.19</v>
      </c>
      <c r="J14" s="19">
        <f>I14/$B$2</f>
        <v>0.21318999999999999</v>
      </c>
      <c r="K14" s="18">
        <v>38.33</v>
      </c>
      <c r="L14" s="19">
        <f t="shared" si="1"/>
        <v>3.8329999999999996E-2</v>
      </c>
      <c r="M14" s="22">
        <v>17.09</v>
      </c>
      <c r="N14" s="19">
        <f t="shared" si="2"/>
        <v>1.7090000000000001E-2</v>
      </c>
      <c r="O14" s="22">
        <v>35.020000000000003</v>
      </c>
      <c r="P14" s="19">
        <f t="shared" si="3"/>
        <v>3.5020000000000003E-2</v>
      </c>
    </row>
    <row r="15" spans="2:27" x14ac:dyDescent="0.25">
      <c r="D15" s="2"/>
      <c r="E15" s="18">
        <v>879.54</v>
      </c>
      <c r="F15" s="19">
        <f>E15/$B$2</f>
        <v>0.87953999999999999</v>
      </c>
      <c r="G15" s="18">
        <v>104.23</v>
      </c>
      <c r="H15" s="19">
        <f t="shared" si="0"/>
        <v>0.10423</v>
      </c>
      <c r="I15" s="18">
        <v>209.76</v>
      </c>
      <c r="J15" s="19">
        <f>I15/$B$2</f>
        <v>0.20976</v>
      </c>
      <c r="K15" s="18">
        <v>37.42</v>
      </c>
      <c r="L15" s="19">
        <f t="shared" si="1"/>
        <v>3.7420000000000002E-2</v>
      </c>
      <c r="M15" s="22">
        <v>16.97</v>
      </c>
      <c r="N15" s="19">
        <f t="shared" si="2"/>
        <v>1.6969999999999999E-2</v>
      </c>
      <c r="O15" s="22">
        <v>35.47</v>
      </c>
      <c r="P15" s="19">
        <f t="shared" si="3"/>
        <v>3.5470000000000002E-2</v>
      </c>
    </row>
    <row r="16" spans="2:27" ht="14.4" thickBot="1" x14ac:dyDescent="0.3">
      <c r="D16" s="2"/>
      <c r="E16" s="15"/>
      <c r="F16" s="14"/>
      <c r="G16" s="15"/>
      <c r="H16" s="19"/>
      <c r="I16" s="15"/>
      <c r="J16" s="14"/>
      <c r="K16" s="15"/>
      <c r="L16" s="19"/>
      <c r="M16" s="22"/>
      <c r="N16" s="19"/>
      <c r="O16" s="22"/>
      <c r="P16" s="19"/>
    </row>
    <row r="17" spans="4:16" ht="14.4" thickBot="1" x14ac:dyDescent="0.3">
      <c r="D17" s="30" t="s">
        <v>16</v>
      </c>
      <c r="E17" s="20" t="s">
        <v>8</v>
      </c>
      <c r="F17" s="21" t="s">
        <v>8</v>
      </c>
      <c r="G17" s="20" t="s">
        <v>9</v>
      </c>
      <c r="H17" s="27" t="s">
        <v>9</v>
      </c>
      <c r="I17" s="20" t="s">
        <v>10</v>
      </c>
      <c r="J17" s="21" t="s">
        <v>10</v>
      </c>
      <c r="K17" s="20" t="s">
        <v>11</v>
      </c>
      <c r="L17" s="27" t="s">
        <v>11</v>
      </c>
      <c r="M17" s="29" t="s">
        <v>12</v>
      </c>
      <c r="N17" s="27" t="s">
        <v>12</v>
      </c>
      <c r="O17" s="29" t="s">
        <v>13</v>
      </c>
      <c r="P17" s="27" t="s">
        <v>13</v>
      </c>
    </row>
    <row r="18" spans="4:16" x14ac:dyDescent="0.25">
      <c r="D18" s="2"/>
      <c r="E18" s="22">
        <v>6248571.3200000003</v>
      </c>
      <c r="F18" s="19">
        <f>E18/$B$2</f>
        <v>6248.57132</v>
      </c>
      <c r="G18" s="22">
        <v>1058127.45</v>
      </c>
      <c r="H18" s="19">
        <f t="shared" si="0"/>
        <v>1058.12745</v>
      </c>
      <c r="I18" s="22">
        <v>2087342.56</v>
      </c>
      <c r="J18" s="19">
        <f>I18/$B$2</f>
        <v>2087.34256</v>
      </c>
      <c r="K18" s="22">
        <v>439.43</v>
      </c>
      <c r="L18" s="19">
        <f t="shared" ref="L18:L21" si="4">K18/$B$2</f>
        <v>0.43942999999999999</v>
      </c>
      <c r="M18" s="22">
        <v>197.56</v>
      </c>
      <c r="N18" s="19">
        <f t="shared" ref="N18:N21" si="5">M18/$B$2</f>
        <v>0.19756000000000001</v>
      </c>
      <c r="O18" s="22">
        <v>459.13</v>
      </c>
      <c r="P18" s="19">
        <f t="shared" ref="P18:P21" si="6">O18/$B$2</f>
        <v>0.45912999999999998</v>
      </c>
    </row>
    <row r="19" spans="4:16" x14ac:dyDescent="0.25">
      <c r="D19" s="2"/>
      <c r="E19" s="22">
        <v>6392845.6699999999</v>
      </c>
      <c r="F19" s="19">
        <f>E19/$B$2</f>
        <v>6392.8456699999997</v>
      </c>
      <c r="G19" s="22">
        <v>1064892.3799999999</v>
      </c>
      <c r="H19" s="19">
        <f t="shared" si="0"/>
        <v>1064.8923799999998</v>
      </c>
      <c r="I19" s="22">
        <v>2114587.91</v>
      </c>
      <c r="J19" s="19">
        <f>I19/$B$2</f>
        <v>2114.5879100000002</v>
      </c>
      <c r="K19" s="22">
        <v>479.38</v>
      </c>
      <c r="L19" s="19">
        <f t="shared" si="4"/>
        <v>0.47937999999999997</v>
      </c>
      <c r="M19" s="22">
        <v>198.84</v>
      </c>
      <c r="N19" s="19">
        <f t="shared" si="5"/>
        <v>0.19884000000000002</v>
      </c>
      <c r="O19" s="22">
        <v>448.71</v>
      </c>
      <c r="P19" s="19">
        <f t="shared" si="6"/>
        <v>0.44871</v>
      </c>
    </row>
    <row r="20" spans="4:16" x14ac:dyDescent="0.25">
      <c r="D20" s="2"/>
      <c r="E20" s="22">
        <v>6301428.9100000001</v>
      </c>
      <c r="F20" s="19">
        <f>E20/$B$2</f>
        <v>6301.4289100000005</v>
      </c>
      <c r="G20" s="22">
        <v>1061543.67</v>
      </c>
      <c r="H20" s="19">
        <f t="shared" si="0"/>
        <v>1061.54367</v>
      </c>
      <c r="I20" s="22">
        <v>2096128.47</v>
      </c>
      <c r="J20" s="19">
        <f>I20/$B$2</f>
        <v>2096.1284700000001</v>
      </c>
      <c r="K20" s="22">
        <v>447.2</v>
      </c>
      <c r="L20" s="19">
        <f t="shared" si="4"/>
        <v>0.44719999999999999</v>
      </c>
      <c r="M20" s="22">
        <v>203.5</v>
      </c>
      <c r="N20" s="19">
        <f t="shared" si="5"/>
        <v>0.20349999999999999</v>
      </c>
      <c r="O20" s="22">
        <v>452.84</v>
      </c>
      <c r="P20" s="19">
        <f t="shared" si="6"/>
        <v>0.45283999999999996</v>
      </c>
    </row>
    <row r="21" spans="4:16" x14ac:dyDescent="0.25">
      <c r="D21" s="2"/>
      <c r="E21" s="22">
        <v>6425692.1399999997</v>
      </c>
      <c r="F21" s="19">
        <f>E21/$B$2</f>
        <v>6425.6921400000001</v>
      </c>
      <c r="G21" s="22">
        <v>1067219.1200000001</v>
      </c>
      <c r="H21" s="19">
        <f t="shared" si="0"/>
        <v>1067.2191200000002</v>
      </c>
      <c r="I21" s="22">
        <v>2109763.8199999998</v>
      </c>
      <c r="J21" s="19">
        <f>I21/$B$2</f>
        <v>2109.7638199999997</v>
      </c>
      <c r="K21" s="22">
        <v>439.77</v>
      </c>
      <c r="L21" s="19">
        <f t="shared" si="4"/>
        <v>0.43976999999999999</v>
      </c>
      <c r="M21" s="22">
        <v>203.79</v>
      </c>
      <c r="N21" s="19">
        <f t="shared" si="5"/>
        <v>0.20379</v>
      </c>
      <c r="O21" s="22">
        <v>453.82</v>
      </c>
      <c r="P21" s="19">
        <f t="shared" si="6"/>
        <v>0.45382</v>
      </c>
    </row>
    <row r="22" spans="4:16" ht="14.4" thickBot="1" x14ac:dyDescent="0.3">
      <c r="D22" s="2"/>
      <c r="E22" s="23">
        <v>6338214.5800000001</v>
      </c>
      <c r="F22" s="24">
        <f>E22/$B$2</f>
        <v>6338.2145799999998</v>
      </c>
      <c r="G22" s="23">
        <v>1059784.9099999999</v>
      </c>
      <c r="H22" s="24">
        <f t="shared" si="0"/>
        <v>1059.7849099999999</v>
      </c>
      <c r="I22" s="23">
        <v>2095271.38</v>
      </c>
      <c r="J22" s="24">
        <f>I22/$B$2</f>
        <v>2095.2713799999997</v>
      </c>
      <c r="K22" s="23">
        <v>431.33</v>
      </c>
      <c r="L22" s="24">
        <f>K22/$B$2</f>
        <v>0.43132999999999999</v>
      </c>
      <c r="M22" s="23">
        <v>203.53</v>
      </c>
      <c r="N22" s="24">
        <f>M22/$B$2</f>
        <v>0.20352999999999999</v>
      </c>
      <c r="O22" s="23">
        <v>468.27</v>
      </c>
      <c r="P22" s="24">
        <f>O22/$B$2</f>
        <v>0.46826999999999996</v>
      </c>
    </row>
    <row r="25" spans="4:16" ht="2.4" customHeight="1" x14ac:dyDescent="0.25"/>
    <row r="26" spans="4:16" ht="28.2" customHeight="1" x14ac:dyDescent="0.45">
      <c r="E26" s="31" t="s">
        <v>32</v>
      </c>
      <c r="F26" s="31"/>
      <c r="G26" s="31"/>
      <c r="H26" s="31"/>
      <c r="I26" s="31"/>
      <c r="J26" s="31"/>
      <c r="K26" s="31"/>
    </row>
    <row r="27" spans="4:16" x14ac:dyDescent="0.25">
      <c r="E27" s="6" t="s">
        <v>0</v>
      </c>
      <c r="F27" s="6" t="s">
        <v>1</v>
      </c>
      <c r="G27" s="6" t="s">
        <v>2</v>
      </c>
      <c r="H27" s="6" t="s">
        <v>3</v>
      </c>
      <c r="I27" s="6" t="s">
        <v>4</v>
      </c>
      <c r="J27" s="6" t="s">
        <v>5</v>
      </c>
      <c r="K27" s="6" t="s">
        <v>6</v>
      </c>
    </row>
    <row r="28" spans="4:16" x14ac:dyDescent="0.25">
      <c r="E28" s="7">
        <v>1000</v>
      </c>
      <c r="F28" s="4">
        <f>AVERAGE(E4:E8)</f>
        <v>8.9380000000000006</v>
      </c>
      <c r="G28" s="8">
        <f>AVERAGE(G4:G8)</f>
        <v>2.0259999999999998</v>
      </c>
      <c r="H28" s="8">
        <f>AVERAGE(I4:I8)</f>
        <v>2.38</v>
      </c>
      <c r="I28" s="8">
        <f>AVERAGE(K4:K8)</f>
        <v>0.46399999999999997</v>
      </c>
      <c r="J28" s="8">
        <f>AVERAGE(M4:M8)</f>
        <v>0.10200000000000001</v>
      </c>
      <c r="K28" s="8">
        <f>AVERAGE(O4:O8)</f>
        <v>0.20400000000000001</v>
      </c>
    </row>
    <row r="29" spans="4:16" x14ac:dyDescent="0.25">
      <c r="E29" s="7">
        <v>10000</v>
      </c>
      <c r="F29" s="5">
        <f>AVERAGE(E11:E15)</f>
        <v>879.41599999999994</v>
      </c>
      <c r="G29" s="8">
        <f>AVERAGE(G11:G15)</f>
        <v>104.52200000000001</v>
      </c>
      <c r="H29" s="8">
        <f>AVERAGE(I11:I15)</f>
        <v>211.33600000000001</v>
      </c>
      <c r="I29" s="8">
        <f>AVERAGE(K11:K15)</f>
        <v>39.624000000000002</v>
      </c>
      <c r="J29" s="8">
        <f>AVERAGE(M11:M15)</f>
        <v>17.045999999999999</v>
      </c>
      <c r="K29" s="8">
        <f>AVERAGE(O11:O15)</f>
        <v>35.384</v>
      </c>
    </row>
    <row r="30" spans="4:16" x14ac:dyDescent="0.25">
      <c r="E30" s="7" t="s">
        <v>20</v>
      </c>
      <c r="F30" s="4">
        <f>AVERAGE(E18:E22)</f>
        <v>6341350.5239999993</v>
      </c>
      <c r="G30" s="8">
        <f>AVERAGE(G18:G22)</f>
        <v>1062313.5060000001</v>
      </c>
      <c r="H30" s="8">
        <f>AVERAGE(I18:I22)</f>
        <v>2100618.8280000002</v>
      </c>
      <c r="I30" s="8">
        <f>AVERAGE(K18:K22)</f>
        <v>447.42200000000003</v>
      </c>
      <c r="J30" s="8">
        <f>AVERAGE(M18:M22)</f>
        <v>201.44399999999999</v>
      </c>
      <c r="K30" s="8">
        <f>AVERAGE(O18:O22)</f>
        <v>456.55399999999992</v>
      </c>
    </row>
    <row r="36" spans="4:4" ht="31.8" x14ac:dyDescent="0.5">
      <c r="D36" s="9" t="s">
        <v>18</v>
      </c>
    </row>
  </sheetData>
  <mergeCells count="1">
    <mergeCell ref="E26:K26"/>
  </mergeCells>
  <pageMargins left="0.7" right="0.7" top="0.75" bottom="0.75" header="0.3" footer="0.3"/>
  <pageSetup orientation="portrait" horizontalDpi="4294967293" verticalDpi="0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D1557-5461-4796-8E3F-69E341FDD6BF}">
  <dimension ref="B3"/>
  <sheetViews>
    <sheetView zoomScale="40" zoomScaleNormal="40" workbookViewId="0">
      <selection activeCell="AG12" sqref="AG12"/>
    </sheetView>
  </sheetViews>
  <sheetFormatPr baseColWidth="10" defaultRowHeight="14.4" x14ac:dyDescent="0.3"/>
  <sheetData>
    <row r="3" spans="2:2" ht="23.4" x14ac:dyDescent="0.45">
      <c r="B3" s="10" t="s">
        <v>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GRAFICAS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fefo</cp:lastModifiedBy>
  <dcterms:created xsi:type="dcterms:W3CDTF">2025-11-22T00:13:49Z</dcterms:created>
  <dcterms:modified xsi:type="dcterms:W3CDTF">2025-11-22T08:38:30Z</dcterms:modified>
</cp:coreProperties>
</file>